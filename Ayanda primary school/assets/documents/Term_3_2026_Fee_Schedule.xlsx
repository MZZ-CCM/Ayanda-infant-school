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11">
    <font>
      <name val="Calibri"/>
      <family val="2"/>
      <color theme="1"/>
      <sz val="11"/>
      <scheme val="minor"/>
    </font>
    <font>
      <name val="Georgia"/>
      <b val="1"/>
      <color rgb="0016304F"/>
      <sz val="16"/>
    </font>
    <font>
      <name val="Calibri"/>
      <b val="1"/>
      <color rgb="00B08D34"/>
      <sz val="8"/>
    </font>
    <font>
      <name val="Georgia"/>
      <b val="1"/>
      <color rgb="0016304F"/>
      <sz val="13"/>
    </font>
    <font>
      <name val="Calibri"/>
      <i val="1"/>
      <color rgb="006B7280"/>
      <sz val="10"/>
    </font>
    <font>
      <name val="Georgia"/>
      <b val="1"/>
      <color rgb="0016304F"/>
      <sz val="12"/>
    </font>
    <font>
      <name val="Calibri"/>
      <b val="1"/>
      <color rgb="00FFFFFF"/>
      <sz val="10"/>
    </font>
    <font>
      <name val="Calibri"/>
      <b val="1"/>
      <color rgb="001F2937"/>
      <sz val="10"/>
    </font>
    <font>
      <name val="Calibri"/>
      <color rgb="000000FF"/>
      <sz val="10"/>
    </font>
    <font>
      <name val="Calibri"/>
      <color rgb="001F2937"/>
      <sz val="10"/>
    </font>
    <font>
      <name val="Calibri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B08D34"/>
      </patternFill>
    </fill>
    <fill>
      <patternFill patternType="solid">
        <fgColor rgb="0016304F"/>
      </patternFill>
    </fill>
    <fill>
      <patternFill patternType="solid">
        <fgColor rgb="00FFF9DB"/>
      </patternFill>
    </fill>
    <fill>
      <patternFill patternType="solid">
        <fgColor rgb="00F3F6F9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9" fontId="8" fillId="4" borderId="1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top" wrapText="1"/>
    </xf>
    <xf numFmtId="164" fontId="7" fillId="5" borderId="1" applyAlignment="1" pivotButton="0" quotePrefix="0" xfId="0">
      <alignment horizontal="right" vertical="center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0" customWidth="1" min="8" max="8"/>
  </cols>
  <sheetData>
    <row r="1" ht="24" customHeight="1">
      <c r="A1" s="1" t="inlineStr">
        <is>
          <t>AYANDA INFANT SCHOOL</t>
        </is>
      </c>
    </row>
    <row r="2">
      <c r="A2" s="2" t="inlineStr">
        <is>
          <t>WHERE EXCELLENCE BEGINS</t>
        </is>
      </c>
    </row>
    <row r="3">
      <c r="A3" s="3" t="inlineStr">
        <is>
          <t>Fee Schedule — Term 3, 2026</t>
        </is>
      </c>
    </row>
    <row r="4">
      <c r="A4" s="4" t="inlineStr">
        <is>
          <t>All amounts in US dollars (USD). Blue figures are inputs set by the Bursar; every other figure is calculated. Assumed amounts are placeholders for the Board to confirm.</t>
        </is>
      </c>
    </row>
    <row r="5" ht="4" customHeight="1">
      <c r="A5" s="5" t="n"/>
      <c r="B5" s="5" t="n"/>
      <c r="C5" s="5" t="n"/>
      <c r="D5" s="5" t="n"/>
      <c r="E5" s="5" t="n"/>
      <c r="F5" s="5" t="n"/>
      <c r="G5" s="5" t="n"/>
      <c r="H5" s="5" t="n"/>
    </row>
    <row r="7">
      <c r="A7" s="6" t="inlineStr">
        <is>
          <t>Inputs</t>
        </is>
      </c>
    </row>
    <row r="8" ht="30" customHeight="1">
      <c r="A8" s="7" t="inlineStr">
        <is>
          <t>Class</t>
        </is>
      </c>
      <c r="B8" s="7" t="inlineStr">
        <is>
          <t>Tuition per term</t>
        </is>
      </c>
      <c r="C8" s="7" t="inlineStr">
        <is>
          <t>Development levy</t>
        </is>
      </c>
      <c r="D8" s="7" t="inlineStr">
        <is>
          <t>Learning materials</t>
        </is>
      </c>
      <c r="E8" s="7" t="inlineStr">
        <is>
          <t>Meals (optional)</t>
        </is>
      </c>
      <c r="F8" s="7" t="inlineStr">
        <is>
          <t>Transport (optional)</t>
        </is>
      </c>
      <c r="G8" s="7" t="inlineStr">
        <is>
          <t>Total (compulsory)</t>
        </is>
      </c>
      <c r="H8" s="7" t="inlineStr">
        <is>
          <t>Total with all options</t>
        </is>
      </c>
    </row>
    <row r="9">
      <c r="A9" s="8" t="inlineStr">
        <is>
          <t>ECD A — Sunbeams</t>
        </is>
      </c>
      <c r="B9" s="9" t="n">
        <v>380</v>
      </c>
      <c r="C9" s="9" t="n">
        <v>40</v>
      </c>
      <c r="D9" s="9" t="n">
        <v>25</v>
      </c>
      <c r="E9" s="9" t="n">
        <v>90</v>
      </c>
      <c r="F9" s="9" t="n">
        <v>120</v>
      </c>
      <c r="G9" s="10">
        <f>SUM(B9:D9)</f>
        <v/>
      </c>
      <c r="H9" s="11">
        <f>SUM(B9:F9)</f>
        <v/>
      </c>
    </row>
    <row r="10">
      <c r="A10" s="8" t="inlineStr">
        <is>
          <t>ECD B — Rainbows</t>
        </is>
      </c>
      <c r="B10" s="9" t="n">
        <v>380</v>
      </c>
      <c r="C10" s="9" t="n">
        <v>40</v>
      </c>
      <c r="D10" s="9" t="n">
        <v>25</v>
      </c>
      <c r="E10" s="9" t="n">
        <v>90</v>
      </c>
      <c r="F10" s="9" t="n">
        <v>120</v>
      </c>
      <c r="G10" s="10">
        <f>SUM(B10:D10)</f>
        <v/>
      </c>
      <c r="H10" s="11">
        <f>SUM(B10:F10)</f>
        <v/>
      </c>
    </row>
    <row r="11">
      <c r="A11" s="8" t="inlineStr">
        <is>
          <t>Grade 1 — Acacia</t>
        </is>
      </c>
      <c r="B11" s="9" t="n">
        <v>420</v>
      </c>
      <c r="C11" s="9" t="n">
        <v>40</v>
      </c>
      <c r="D11" s="9" t="n">
        <v>35</v>
      </c>
      <c r="E11" s="9" t="n">
        <v>90</v>
      </c>
      <c r="F11" s="9" t="n">
        <v>120</v>
      </c>
      <c r="G11" s="10">
        <f>SUM(B11:D11)</f>
        <v/>
      </c>
      <c r="H11" s="11">
        <f>SUM(B11:F11)</f>
        <v/>
      </c>
    </row>
    <row r="12">
      <c r="A12" s="8" t="inlineStr">
        <is>
          <t>Grade 2 — Baobab</t>
        </is>
      </c>
      <c r="B12" s="9" t="n">
        <v>420</v>
      </c>
      <c r="C12" s="9" t="n">
        <v>40</v>
      </c>
      <c r="D12" s="9" t="n">
        <v>35</v>
      </c>
      <c r="E12" s="9" t="n">
        <v>90</v>
      </c>
      <c r="F12" s="9" t="n">
        <v>120</v>
      </c>
      <c r="G12" s="10">
        <f>SUM(B12:D12)</f>
        <v/>
      </c>
      <c r="H12" s="11">
        <f>SUM(B12:F12)</f>
        <v/>
      </c>
    </row>
    <row r="14">
      <c r="A14" s="6" t="inlineStr">
        <is>
          <t>Discounts and payment terms</t>
        </is>
      </c>
    </row>
    <row r="15">
      <c r="A15" s="12" t="inlineStr">
        <is>
          <t>Sibling discount (2nd and further child, on tuition)</t>
        </is>
      </c>
      <c r="B15" s="13" t="n"/>
      <c r="C15" s="13" t="n"/>
      <c r="D15" s="13" t="n"/>
      <c r="E15" s="14" t="n"/>
      <c r="F15" s="15" t="n">
        <v>0.1</v>
      </c>
    </row>
    <row r="16">
      <c r="A16" s="12" t="inlineStr">
        <is>
          <t>Early-payment discount (paid in full by 4 Sep 2026)</t>
        </is>
      </c>
      <c r="B16" s="13" t="n"/>
      <c r="C16" s="13" t="n"/>
      <c r="D16" s="13" t="n"/>
      <c r="E16" s="14" t="n"/>
      <c r="F16" s="15" t="n">
        <v>0.05</v>
      </c>
    </row>
    <row r="17">
      <c r="A17" s="12" t="inlineStr">
        <is>
          <t>Late-payment surcharge (after 30 Sep 2026)</t>
        </is>
      </c>
      <c r="B17" s="13" t="n"/>
      <c r="C17" s="13" t="n"/>
      <c r="D17" s="13" t="n"/>
      <c r="E17" s="14" t="n"/>
      <c r="F17" s="15" t="n">
        <v>0.05</v>
      </c>
    </row>
    <row r="18">
      <c r="A18" s="12" t="inlineStr">
        <is>
          <t>Instalment plan: number of instalments</t>
        </is>
      </c>
      <c r="B18" s="13" t="n"/>
      <c r="C18" s="13" t="n"/>
      <c r="D18" s="13" t="n"/>
      <c r="E18" s="14" t="n"/>
      <c r="F18" s="16" t="n">
        <v>3</v>
      </c>
    </row>
    <row r="19">
      <c r="A19" s="12" t="inlineStr">
        <is>
          <t>Instalment due dates</t>
        </is>
      </c>
      <c r="B19" s="13" t="n"/>
      <c r="C19" s="13" t="n"/>
      <c r="D19" s="13" t="n"/>
      <c r="E19" s="14" t="n"/>
      <c r="F19" s="17" t="inlineStr">
        <is>
          <t>4 Sep · 2 Oct · 30 Oct 2026</t>
        </is>
      </c>
    </row>
    <row r="21">
      <c r="A21" s="6" t="inlineStr">
        <is>
          <t>What a family pays (compulsory fees)</t>
        </is>
      </c>
    </row>
    <row r="22" ht="34" customHeight="1">
      <c r="A22" s="7" t="inlineStr">
        <is>
          <t>Class</t>
        </is>
      </c>
      <c r="B22" s="7" t="inlineStr">
        <is>
          <t>Full amount</t>
        </is>
      </c>
      <c r="C22" s="7" t="inlineStr">
        <is>
          <t>Paid in full by 4 Sep</t>
        </is>
      </c>
      <c r="D22" s="7" t="inlineStr">
        <is>
          <t>Per instalment (×3)</t>
        </is>
      </c>
      <c r="E22" s="7" t="inlineStr">
        <is>
          <t>Second child (sibling discount)</t>
        </is>
      </c>
      <c r="F22" s="7" t="inlineStr">
        <is>
          <t>Second child, paid early</t>
        </is>
      </c>
      <c r="G22" s="7" t="inlineStr">
        <is>
          <t>If paid after 30 Sep</t>
        </is>
      </c>
      <c r="H22" s="7" t="inlineStr"/>
    </row>
    <row r="23">
      <c r="A23" s="8" t="inlineStr">
        <is>
          <t>ECD A — Sunbeams</t>
        </is>
      </c>
      <c r="B23" s="11">
        <f>G9</f>
        <v/>
      </c>
      <c r="C23" s="18">
        <f>G9-B9*$F$16</f>
        <v/>
      </c>
      <c r="D23" s="18">
        <f>G9/$F$18</f>
        <v/>
      </c>
      <c r="E23" s="18">
        <f>G9-B9*$F$15</f>
        <v/>
      </c>
      <c r="F23" s="18">
        <f>G9-B9*$F$15-B9*$F$16</f>
        <v/>
      </c>
      <c r="G23" s="18">
        <f>G9*(1+$F$17)</f>
        <v/>
      </c>
    </row>
    <row r="24">
      <c r="A24" s="8" t="inlineStr">
        <is>
          <t>ECD B — Rainbows</t>
        </is>
      </c>
      <c r="B24" s="11">
        <f>G10</f>
        <v/>
      </c>
      <c r="C24" s="18">
        <f>G10-B10*$F$16</f>
        <v/>
      </c>
      <c r="D24" s="18">
        <f>G10/$F$18</f>
        <v/>
      </c>
      <c r="E24" s="18">
        <f>G10-B10*$F$15</f>
        <v/>
      </c>
      <c r="F24" s="18">
        <f>G10-B10*$F$15-B10*$F$16</f>
        <v/>
      </c>
      <c r="G24" s="18">
        <f>G10*(1+$F$17)</f>
        <v/>
      </c>
    </row>
    <row r="25">
      <c r="A25" s="8" t="inlineStr">
        <is>
          <t>Grade 1 — Acacia</t>
        </is>
      </c>
      <c r="B25" s="11">
        <f>G11</f>
        <v/>
      </c>
      <c r="C25" s="18">
        <f>G11-B11*$F$16</f>
        <v/>
      </c>
      <c r="D25" s="18">
        <f>G11/$F$18</f>
        <v/>
      </c>
      <c r="E25" s="18">
        <f>G11-B11*$F$15</f>
        <v/>
      </c>
      <c r="F25" s="18">
        <f>G11-B11*$F$15-B11*$F$16</f>
        <v/>
      </c>
      <c r="G25" s="18">
        <f>G11*(1+$F$17)</f>
        <v/>
      </c>
    </row>
    <row r="26">
      <c r="A26" s="8" t="inlineStr">
        <is>
          <t>Grade 2 — Baobab</t>
        </is>
      </c>
      <c r="B26" s="11">
        <f>G12</f>
        <v/>
      </c>
      <c r="C26" s="18">
        <f>G12-B12*$F$16</f>
        <v/>
      </c>
      <c r="D26" s="18">
        <f>G12/$F$18</f>
        <v/>
      </c>
      <c r="E26" s="18">
        <f>G12-B12*$F$15</f>
        <v/>
      </c>
      <c r="F26" s="18">
        <f>G12-B12*$F$15-B12*$F$16</f>
        <v/>
      </c>
      <c r="G26" s="18">
        <f>G12*(1+$F$17)</f>
        <v/>
      </c>
    </row>
    <row r="28">
      <c r="A28" s="6" t="inlineStr">
        <is>
          <t>Expected term income (compulsory fees only)</t>
        </is>
      </c>
    </row>
    <row r="29" ht="24" customHeight="1">
      <c r="A29" s="7" t="inlineStr">
        <is>
          <t>Class</t>
        </is>
      </c>
      <c r="B29" s="7" t="inlineStr">
        <is>
          <t>Pupils on roll</t>
        </is>
      </c>
      <c r="C29" s="7" t="inlineStr">
        <is>
          <t>Compulsory fee</t>
        </is>
      </c>
      <c r="D29" s="7" t="inlineStr">
        <is>
          <t>Expected income</t>
        </is>
      </c>
      <c r="E29" s="7" t="inlineStr"/>
      <c r="F29" s="7" t="inlineStr"/>
      <c r="G29" s="7" t="inlineStr"/>
      <c r="H29" s="7" t="inlineStr"/>
    </row>
    <row r="30">
      <c r="A30" s="8" t="inlineStr">
        <is>
          <t>ECD A — Sunbeams</t>
        </is>
      </c>
      <c r="B30" s="19" t="n">
        <v>0</v>
      </c>
      <c r="C30" s="11">
        <f>G9</f>
        <v/>
      </c>
      <c r="D30" s="11">
        <f>B30*C30</f>
        <v/>
      </c>
    </row>
    <row r="31">
      <c r="A31" s="8" t="inlineStr">
        <is>
          <t>ECD B — Rainbows</t>
        </is>
      </c>
      <c r="B31" s="19" t="n">
        <v>0</v>
      </c>
      <c r="C31" s="11">
        <f>G10</f>
        <v/>
      </c>
      <c r="D31" s="11">
        <f>B31*C31</f>
        <v/>
      </c>
    </row>
    <row r="32">
      <c r="A32" s="8" t="inlineStr">
        <is>
          <t>Grade 1 — Acacia</t>
        </is>
      </c>
      <c r="B32" s="19" t="n">
        <v>0</v>
      </c>
      <c r="C32" s="11">
        <f>G11</f>
        <v/>
      </c>
      <c r="D32" s="11">
        <f>B32*C32</f>
        <v/>
      </c>
    </row>
    <row r="33">
      <c r="A33" s="8" t="inlineStr">
        <is>
          <t>Grade 2 — Baobab</t>
        </is>
      </c>
      <c r="B33" s="19" t="n">
        <v>0</v>
      </c>
      <c r="C33" s="11">
        <f>G12</f>
        <v/>
      </c>
      <c r="D33" s="11">
        <f>B33*C33</f>
        <v/>
      </c>
    </row>
    <row r="34">
      <c r="A34" s="20" t="inlineStr">
        <is>
          <t>Total</t>
        </is>
      </c>
      <c r="B34" s="21">
        <f>SUM(B30:B33)</f>
        <v/>
      </c>
      <c r="C34" s="22" t="inlineStr"/>
      <c r="D34" s="23">
        <f>SUM(D30:D33)</f>
        <v/>
      </c>
    </row>
    <row r="36">
      <c r="A36" s="24" t="inlineStr">
        <is>
          <t>Assumptions: fee amounts, discounts and dates are placeholders entered on 14 Sep 2026 for the Board to confirm; they are not yet approved figures. Pupil numbers are from the staff portal roll on the same date.</t>
        </is>
      </c>
    </row>
    <row r="37">
      <c r="A37" s="24" t="inlineStr">
        <is>
          <t>Blue = input (change these). Black = formula. Sibling and early-payment discounts apply to tuition only; the late surcharge applies to the whole compulsory fee.</t>
        </is>
      </c>
    </row>
    <row r="38">
      <c r="A38" s="24" t="inlineStr">
        <is>
          <t>Fees are payable to the school bank account or at the office. Statements are issued from the Bursar's office; queries to b.ncube@ayandainfantschool.com.</t>
        </is>
      </c>
    </row>
  </sheetData>
  <mergeCells count="12">
    <mergeCell ref="A4:H4"/>
    <mergeCell ref="A3:H3"/>
    <mergeCell ref="A16:E16"/>
    <mergeCell ref="A15:E15"/>
    <mergeCell ref="A38:H38"/>
    <mergeCell ref="A2:H2"/>
    <mergeCell ref="A19:E19"/>
    <mergeCell ref="A36:H36"/>
    <mergeCell ref="A1:H1"/>
    <mergeCell ref="A37:H37"/>
    <mergeCell ref="A17:E17"/>
    <mergeCell ref="A18:E18"/>
  </mergeCells>
  <printOptions horizontalCentered="1"/>
  <pageMargins left="0.5" right="0.5" top="1" bottom="1" header="0.5" footer="0.5"/>
  <pageSetup orientation="portrait" paperSize="9" fitToHeight="0" fitToWidth="1"/>
  <headerFooter>
    <oddHeader/>
    <oddFooter>&amp;C&amp;8 Tel: +263 775111171  •  Email: info@ayandainfantschool.com  •  Web: www.ayandainfantschool.com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2026-09-15T20:47:45Z</dcterms:created>
  <dcterms:modified xmlns:dcterms="http://purl.org/dc/terms/" xmlns:xsi="http://www.w3.org/2001/XMLSchema-instance" xsi:type="dcterms:W3CDTF">2026-09-15T20:47:45Z</dcterms:modified>
</cp:coreProperties>
</file>