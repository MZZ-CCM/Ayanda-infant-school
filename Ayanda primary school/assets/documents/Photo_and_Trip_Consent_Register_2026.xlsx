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Register" sheetId="1" state="visible" r:id="rId1"/>
  </sheets>
  <definedNames>
    <definedName name="_xlnm._FilterDatabase" localSheetId="0" hidden="1">'Consent Register'!$A$7:$J$31</definedName>
  </definedNames>
  <calcPr calcId="124519" fullCalcOnLoad="1"/>
</workbook>
</file>

<file path=xl/styles.xml><?xml version="1.0" encoding="utf-8"?>
<styleSheet xmlns="http://schemas.openxmlformats.org/spreadsheetml/2006/main">
  <numFmts count="1">
    <numFmt numFmtId="164" formatCode="DD MMM YYYY"/>
  </numFmts>
  <fonts count="10">
    <font>
      <name val="Calibri"/>
      <family val="2"/>
      <color theme="1"/>
      <sz val="11"/>
      <scheme val="minor"/>
    </font>
    <font>
      <name val="Georgia"/>
      <b val="1"/>
      <color rgb="0016304F"/>
      <sz val="16"/>
    </font>
    <font>
      <name val="Calibri"/>
      <b val="1"/>
      <color rgb="00B08D34"/>
      <sz val="8"/>
    </font>
    <font>
      <name val="Georgia"/>
      <b val="1"/>
      <color rgb="0016304F"/>
      <sz val="13"/>
    </font>
    <font>
      <name val="Calibri"/>
      <i val="1"/>
      <color rgb="006B7280"/>
      <sz val="10"/>
    </font>
    <font>
      <name val="Calibri"/>
      <b val="1"/>
      <color rgb="00FFFFFF"/>
      <sz val="10"/>
    </font>
    <font>
      <name val="Calibri"/>
      <color rgb="001F2937"/>
      <sz val="10"/>
    </font>
    <font>
      <name val="Georgia"/>
      <b val="1"/>
      <color rgb="0016304F"/>
      <sz val="12"/>
    </font>
    <font>
      <name val="Calibri"/>
      <b val="1"/>
      <color rgb="001F2937"/>
      <sz val="10"/>
    </font>
    <font>
      <name val="Calibri"/>
      <i val="1"/>
      <color rgb="006B7280"/>
      <sz val="9"/>
    </font>
  </fonts>
  <fills count="6">
    <fill>
      <patternFill/>
    </fill>
    <fill>
      <patternFill patternType="gray125"/>
    </fill>
    <fill>
      <patternFill patternType="solid">
        <fgColor rgb="00B08D34"/>
      </patternFill>
    </fill>
    <fill>
      <patternFill patternType="solid">
        <fgColor rgb="0016304F"/>
      </patternFill>
    </fill>
    <fill>
      <patternFill patternType="solid">
        <fgColor rgb="00FFF9DB"/>
      </patternFill>
    </fill>
    <fill>
      <patternFill patternType="solid">
        <fgColor rgb="00F3F6F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5" fillId="3" borderId="1" applyAlignment="1" pivotButton="0" quotePrefix="0" xfId="0">
      <alignment horizontal="center" vertical="center" wrapText="1"/>
    </xf>
    <xf numFmtId="0" fontId="4" fillId="4" borderId="1" applyAlignment="1" pivotButton="0" quotePrefix="0" xfId="0">
      <alignment horizontal="left" vertical="center"/>
    </xf>
    <xf numFmtId="0" fontId="4" fillId="4" borderId="1" applyAlignment="1" pivotButton="0" quotePrefix="0" xfId="0">
      <alignment horizontal="center" vertical="center"/>
    </xf>
    <xf numFmtId="164" fontId="4" fillId="4" borderId="1" applyAlignment="1" pivotButton="0" quotePrefix="0" xfId="0">
      <alignment horizontal="left" vertical="center"/>
    </xf>
    <xf numFmtId="0" fontId="6" fillId="4" borderId="1" applyAlignment="1" pivotButton="0" quotePrefix="0" xfId="0">
      <alignment horizontal="left" vertical="center"/>
    </xf>
    <xf numFmtId="0" fontId="6" fillId="4" borderId="1" applyAlignment="1" pivotButton="0" quotePrefix="0" xfId="0">
      <alignment horizontal="center" vertical="center"/>
    </xf>
    <xf numFmtId="164" fontId="6" fillId="4" borderId="1" applyAlignment="1" pivotButton="0" quotePrefix="0" xfId="0">
      <alignment horizontal="left" vertical="center"/>
    </xf>
    <xf numFmtId="0" fontId="7" fillId="0" borderId="0" pivotButton="0" quotePrefix="0" xfId="0"/>
    <xf numFmtId="0" fontId="8" fillId="0" borderId="1" applyAlignment="1" pivotButton="0" quotePrefix="0" xfId="0">
      <alignment horizontal="left" vertical="center"/>
    </xf>
    <xf numFmtId="0" fontId="6" fillId="0" borderId="1" applyAlignment="1" pivotButton="0" quotePrefix="0" xfId="0">
      <alignment horizontal="center" vertical="center"/>
    </xf>
    <xf numFmtId="0" fontId="8" fillId="5" borderId="1" applyAlignment="1" pivotButton="0" quotePrefix="0" xfId="0">
      <alignment horizontal="left" vertical="center"/>
    </xf>
    <xf numFmtId="0" fontId="8" fillId="5" borderId="1" applyAlignment="1" pivotButton="0" quotePrefix="0" xfId="0">
      <alignment horizontal="center" vertical="center"/>
    </xf>
    <xf numFmtId="0" fontId="9" fillId="0" borderId="0" applyAlignment="1" pivotButton="0" quotePrefix="0" xfId="0">
      <alignment vertical="top" wrapText="1"/>
    </xf>
  </cellXfs>
  <cellStyles count="1">
    <cellStyle name="Normal" xfId="0" builtinId="0" hidden="0"/>
  </cellStyles>
  <dxfs count="3">
    <dxf>
      <fill>
        <patternFill patternType="solid">
          <fgColor rgb="00E3F1E8"/>
        </patternFill>
      </fill>
    </dxf>
    <dxf>
      <fill>
        <patternFill patternType="solid">
          <fgColor rgb="00F8E4E1"/>
        </patternFill>
      </fill>
    </dxf>
    <dxf>
      <fill>
        <patternFill patternType="solid">
          <fgColor rgb="00FBEE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44"/>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20" customWidth="1" min="3" max="3"/>
    <col width="22" customWidth="1" min="4" max="4"/>
    <col width="18" customWidth="1" min="5" max="5"/>
    <col width="14" customWidth="1" min="6" max="6"/>
    <col width="14" customWidth="1" min="7" max="7"/>
    <col width="18" customWidth="1" min="8" max="8"/>
    <col width="16" customWidth="1" min="9" max="9"/>
    <col width="30" customWidth="1" min="10" max="10"/>
  </cols>
  <sheetData>
    <row r="1" ht="24" customHeight="1">
      <c r="A1" s="1" t="inlineStr">
        <is>
          <t>AYANDA INFANT SCHOOL</t>
        </is>
      </c>
    </row>
    <row r="2">
      <c r="A2" s="2" t="inlineStr">
        <is>
          <t>WHERE EXCELLENCE BEGINS</t>
        </is>
      </c>
    </row>
    <row r="3">
      <c r="A3" s="3" t="inlineStr">
        <is>
          <t>Photo &amp; Trip Consent Register — 2026</t>
        </is>
      </c>
    </row>
    <row r="4">
      <c r="A4" s="4" t="inlineStr">
        <is>
          <t>One row per pupil on roll. Record the consent given on the admission form or the latest consent slip. Yellow cells are for you to fill in; the summary below updates automatically.</t>
        </is>
      </c>
    </row>
    <row r="5" ht="4" customHeight="1">
      <c r="A5" s="5" t="n"/>
      <c r="B5" s="5" t="n"/>
      <c r="C5" s="5" t="n"/>
      <c r="D5" s="5" t="n"/>
      <c r="E5" s="5" t="n"/>
      <c r="F5" s="5" t="n"/>
      <c r="G5" s="5" t="n"/>
      <c r="H5" s="5" t="n"/>
      <c r="I5" s="5" t="n"/>
      <c r="J5" s="5" t="n"/>
    </row>
    <row r="7" ht="30" customHeight="1">
      <c r="A7" s="6" t="inlineStr">
        <is>
          <t>Admission No.</t>
        </is>
      </c>
      <c r="B7" s="6" t="inlineStr">
        <is>
          <t>Pupil</t>
        </is>
      </c>
      <c r="C7" s="6" t="inlineStr">
        <is>
          <t>Class</t>
        </is>
      </c>
      <c r="D7" s="6" t="inlineStr">
        <is>
          <t>Guardian</t>
        </is>
      </c>
      <c r="E7" s="6" t="inlineStr">
        <is>
          <t>Guardian phone</t>
        </is>
      </c>
      <c r="F7" s="6" t="inlineStr">
        <is>
          <t>Photo consent</t>
        </is>
      </c>
      <c r="G7" s="6" t="inlineStr">
        <is>
          <t>Trip consent</t>
        </is>
      </c>
      <c r="H7" s="6" t="inlineStr">
        <is>
          <t>Form received (date)</t>
        </is>
      </c>
      <c r="I7" s="6" t="inlineStr">
        <is>
          <t>Recorded by</t>
        </is>
      </c>
      <c r="J7" s="6" t="inlineStr">
        <is>
          <t>Notes</t>
        </is>
      </c>
    </row>
    <row r="8">
      <c r="A8" s="7" t="inlineStr"/>
      <c r="B8" s="7" t="inlineStr"/>
      <c r="C8" s="7" t="inlineStr"/>
      <c r="D8" s="7" t="inlineStr"/>
      <c r="E8" s="7" t="inlineStr"/>
      <c r="F8" s="8" t="inlineStr">
        <is>
          <t>Yes</t>
        </is>
      </c>
      <c r="G8" s="8" t="inlineStr">
        <is>
          <t>Yes</t>
        </is>
      </c>
      <c r="H8" s="9" t="n">
        <v>46035</v>
      </c>
      <c r="I8" s="7" t="inlineStr"/>
      <c r="J8" s="7" t="inlineStr">
        <is>
          <t>Example — consent taken from the admission form</t>
        </is>
      </c>
    </row>
    <row r="9">
      <c r="A9" s="10" t="inlineStr"/>
      <c r="B9" s="10" t="inlineStr"/>
      <c r="C9" s="10" t="inlineStr"/>
      <c r="D9" s="10" t="inlineStr"/>
      <c r="E9" s="10" t="inlineStr"/>
      <c r="F9" s="11" t="inlineStr"/>
      <c r="G9" s="11" t="inlineStr"/>
      <c r="H9" s="12" t="n"/>
      <c r="I9" s="10" t="inlineStr"/>
      <c r="J9" s="10" t="inlineStr"/>
    </row>
    <row r="10">
      <c r="A10" s="10" t="inlineStr"/>
      <c r="B10" s="10" t="inlineStr"/>
      <c r="C10" s="10" t="inlineStr"/>
      <c r="D10" s="10" t="inlineStr"/>
      <c r="E10" s="10" t="inlineStr"/>
      <c r="F10" s="11" t="inlineStr"/>
      <c r="G10" s="11" t="inlineStr"/>
      <c r="H10" s="12" t="n"/>
      <c r="I10" s="10" t="inlineStr"/>
      <c r="J10" s="10" t="inlineStr"/>
    </row>
    <row r="11">
      <c r="A11" s="10" t="inlineStr"/>
      <c r="B11" s="10" t="inlineStr"/>
      <c r="C11" s="10" t="inlineStr"/>
      <c r="D11" s="10" t="inlineStr"/>
      <c r="E11" s="10" t="inlineStr"/>
      <c r="F11" s="11" t="inlineStr"/>
      <c r="G11" s="11" t="inlineStr"/>
      <c r="H11" s="12" t="n"/>
      <c r="I11" s="10" t="inlineStr"/>
      <c r="J11" s="10" t="inlineStr"/>
    </row>
    <row r="12">
      <c r="A12" s="10" t="inlineStr"/>
      <c r="B12" s="10" t="inlineStr"/>
      <c r="C12" s="10" t="inlineStr"/>
      <c r="D12" s="10" t="inlineStr"/>
      <c r="E12" s="10" t="inlineStr"/>
      <c r="F12" s="11" t="inlineStr"/>
      <c r="G12" s="11" t="inlineStr"/>
      <c r="H12" s="12" t="n"/>
      <c r="I12" s="10" t="inlineStr"/>
      <c r="J12" s="10" t="inlineStr"/>
    </row>
    <row r="13">
      <c r="A13" s="10" t="inlineStr"/>
      <c r="B13" s="10" t="inlineStr"/>
      <c r="C13" s="10" t="inlineStr"/>
      <c r="D13" s="10" t="inlineStr"/>
      <c r="E13" s="10" t="inlineStr"/>
      <c r="F13" s="11" t="inlineStr"/>
      <c r="G13" s="11" t="inlineStr"/>
      <c r="H13" s="12" t="n"/>
      <c r="I13" s="10" t="inlineStr"/>
      <c r="J13" s="10" t="inlineStr"/>
    </row>
    <row r="14">
      <c r="A14" s="10" t="inlineStr"/>
      <c r="B14" s="10" t="inlineStr"/>
      <c r="C14" s="10" t="inlineStr"/>
      <c r="D14" s="10" t="inlineStr"/>
      <c r="E14" s="10" t="inlineStr"/>
      <c r="F14" s="11" t="inlineStr"/>
      <c r="G14" s="11" t="inlineStr"/>
      <c r="H14" s="12" t="n"/>
      <c r="I14" s="10" t="inlineStr"/>
      <c r="J14" s="10" t="inlineStr"/>
    </row>
    <row r="15">
      <c r="A15" s="10" t="inlineStr"/>
      <c r="B15" s="10" t="inlineStr"/>
      <c r="C15" s="10" t="inlineStr"/>
      <c r="D15" s="10" t="inlineStr"/>
      <c r="E15" s="10" t="inlineStr"/>
      <c r="F15" s="11" t="inlineStr"/>
      <c r="G15" s="11" t="inlineStr"/>
      <c r="H15" s="12" t="n"/>
      <c r="I15" s="10" t="inlineStr"/>
      <c r="J15" s="10" t="inlineStr"/>
    </row>
    <row r="16">
      <c r="A16" s="10" t="inlineStr"/>
      <c r="B16" s="10" t="inlineStr"/>
      <c r="C16" s="10" t="inlineStr"/>
      <c r="D16" s="10" t="inlineStr"/>
      <c r="E16" s="10" t="inlineStr"/>
      <c r="F16" s="11" t="inlineStr"/>
      <c r="G16" s="11" t="inlineStr"/>
      <c r="H16" s="12" t="n"/>
      <c r="I16" s="10" t="inlineStr"/>
      <c r="J16" s="10" t="inlineStr"/>
    </row>
    <row r="17">
      <c r="A17" s="10" t="inlineStr"/>
      <c r="B17" s="10" t="inlineStr"/>
      <c r="C17" s="10" t="inlineStr"/>
      <c r="D17" s="10" t="inlineStr"/>
      <c r="E17" s="10" t="inlineStr"/>
      <c r="F17" s="11" t="inlineStr"/>
      <c r="G17" s="11" t="inlineStr"/>
      <c r="H17" s="12" t="n"/>
      <c r="I17" s="10" t="inlineStr"/>
      <c r="J17" s="10" t="inlineStr"/>
    </row>
    <row r="18">
      <c r="A18" s="10" t="inlineStr"/>
      <c r="B18" s="10" t="inlineStr"/>
      <c r="C18" s="10" t="inlineStr"/>
      <c r="D18" s="10" t="inlineStr"/>
      <c r="E18" s="10" t="inlineStr"/>
      <c r="F18" s="11" t="inlineStr"/>
      <c r="G18" s="11" t="inlineStr"/>
      <c r="H18" s="12" t="n"/>
      <c r="I18" s="10" t="inlineStr"/>
      <c r="J18" s="10" t="inlineStr"/>
    </row>
    <row r="19">
      <c r="A19" s="10" t="inlineStr"/>
      <c r="B19" s="10" t="inlineStr"/>
      <c r="C19" s="10" t="inlineStr"/>
      <c r="D19" s="10" t="inlineStr"/>
      <c r="E19" s="10" t="inlineStr"/>
      <c r="F19" s="11" t="inlineStr"/>
      <c r="G19" s="11" t="inlineStr"/>
      <c r="H19" s="12" t="n"/>
      <c r="I19" s="10" t="inlineStr"/>
      <c r="J19" s="10" t="inlineStr"/>
    </row>
    <row r="20">
      <c r="A20" s="10" t="inlineStr"/>
      <c r="B20" s="10" t="inlineStr"/>
      <c r="C20" s="10" t="inlineStr"/>
      <c r="D20" s="10" t="inlineStr"/>
      <c r="E20" s="10" t="inlineStr"/>
      <c r="F20" s="11" t="inlineStr"/>
      <c r="G20" s="11" t="inlineStr"/>
      <c r="H20" s="12" t="n"/>
      <c r="I20" s="10" t="inlineStr"/>
      <c r="J20" s="10" t="inlineStr"/>
    </row>
    <row r="21">
      <c r="A21" s="10" t="inlineStr"/>
      <c r="B21" s="10" t="inlineStr"/>
      <c r="C21" s="10" t="inlineStr"/>
      <c r="D21" s="10" t="inlineStr"/>
      <c r="E21" s="10" t="inlineStr"/>
      <c r="F21" s="11" t="inlineStr"/>
      <c r="G21" s="11" t="inlineStr"/>
      <c r="H21" s="12" t="n"/>
      <c r="I21" s="10" t="inlineStr"/>
      <c r="J21" s="10" t="inlineStr"/>
    </row>
    <row r="22">
      <c r="A22" s="10" t="inlineStr"/>
      <c r="B22" s="10" t="inlineStr"/>
      <c r="C22" s="10" t="inlineStr"/>
      <c r="D22" s="10" t="inlineStr"/>
      <c r="E22" s="10" t="inlineStr"/>
      <c r="F22" s="11" t="inlineStr"/>
      <c r="G22" s="11" t="inlineStr"/>
      <c r="H22" s="12" t="n"/>
      <c r="I22" s="10" t="inlineStr"/>
      <c r="J22" s="10" t="inlineStr"/>
    </row>
    <row r="23">
      <c r="A23" s="10" t="inlineStr"/>
      <c r="B23" s="10" t="inlineStr"/>
      <c r="C23" s="10" t="inlineStr"/>
      <c r="D23" s="10" t="inlineStr"/>
      <c r="E23" s="10" t="inlineStr"/>
      <c r="F23" s="11" t="inlineStr"/>
      <c r="G23" s="11" t="inlineStr"/>
      <c r="H23" s="12" t="n"/>
      <c r="I23" s="10" t="inlineStr"/>
      <c r="J23" s="10" t="inlineStr"/>
    </row>
    <row r="24">
      <c r="A24" s="10" t="inlineStr"/>
      <c r="B24" s="10" t="inlineStr"/>
      <c r="C24" s="10" t="inlineStr"/>
      <c r="D24" s="10" t="inlineStr"/>
      <c r="E24" s="10" t="inlineStr"/>
      <c r="F24" s="11" t="inlineStr"/>
      <c r="G24" s="11" t="inlineStr"/>
      <c r="H24" s="12" t="n"/>
      <c r="I24" s="10" t="inlineStr"/>
      <c r="J24" s="10" t="inlineStr"/>
    </row>
    <row r="25">
      <c r="A25" s="10" t="inlineStr"/>
      <c r="B25" s="10" t="inlineStr"/>
      <c r="C25" s="10" t="inlineStr"/>
      <c r="D25" s="10" t="inlineStr"/>
      <c r="E25" s="10" t="inlineStr"/>
      <c r="F25" s="11" t="inlineStr"/>
      <c r="G25" s="11" t="inlineStr"/>
      <c r="H25" s="12" t="n"/>
      <c r="I25" s="10" t="inlineStr"/>
      <c r="J25" s="10" t="inlineStr"/>
    </row>
    <row r="26">
      <c r="A26" s="10" t="inlineStr"/>
      <c r="B26" s="10" t="inlineStr"/>
      <c r="C26" s="10" t="inlineStr"/>
      <c r="D26" s="10" t="inlineStr"/>
      <c r="E26" s="10" t="inlineStr"/>
      <c r="F26" s="11" t="inlineStr"/>
      <c r="G26" s="11" t="inlineStr"/>
      <c r="H26" s="12" t="n"/>
      <c r="I26" s="10" t="inlineStr"/>
      <c r="J26" s="10" t="inlineStr"/>
    </row>
    <row r="27">
      <c r="A27" s="10" t="inlineStr"/>
      <c r="B27" s="10" t="inlineStr"/>
      <c r="C27" s="10" t="inlineStr"/>
      <c r="D27" s="10" t="inlineStr"/>
      <c r="E27" s="10" t="inlineStr"/>
      <c r="F27" s="11" t="inlineStr"/>
      <c r="G27" s="11" t="inlineStr"/>
      <c r="H27" s="12" t="n"/>
      <c r="I27" s="10" t="inlineStr"/>
      <c r="J27" s="10" t="inlineStr"/>
    </row>
    <row r="28">
      <c r="A28" s="10" t="inlineStr"/>
      <c r="B28" s="10" t="inlineStr"/>
      <c r="C28" s="10" t="inlineStr"/>
      <c r="D28" s="10" t="inlineStr"/>
      <c r="E28" s="10" t="inlineStr"/>
      <c r="F28" s="11" t="inlineStr"/>
      <c r="G28" s="11" t="inlineStr"/>
      <c r="H28" s="12" t="n"/>
      <c r="I28" s="10" t="inlineStr"/>
      <c r="J28" s="10" t="inlineStr"/>
    </row>
    <row r="29">
      <c r="A29" s="10" t="inlineStr"/>
      <c r="B29" s="10" t="inlineStr"/>
      <c r="C29" s="10" t="inlineStr"/>
      <c r="D29" s="10" t="inlineStr"/>
      <c r="E29" s="10" t="inlineStr"/>
      <c r="F29" s="11" t="inlineStr"/>
      <c r="G29" s="11" t="inlineStr"/>
      <c r="H29" s="12" t="n"/>
      <c r="I29" s="10" t="inlineStr"/>
      <c r="J29" s="10" t="inlineStr"/>
    </row>
    <row r="30">
      <c r="A30" s="10" t="inlineStr"/>
      <c r="B30" s="10" t="inlineStr"/>
      <c r="C30" s="10" t="inlineStr"/>
      <c r="D30" s="10" t="inlineStr"/>
      <c r="E30" s="10" t="inlineStr"/>
      <c r="F30" s="11" t="inlineStr"/>
      <c r="G30" s="11" t="inlineStr"/>
      <c r="H30" s="12" t="n"/>
      <c r="I30" s="10" t="inlineStr"/>
      <c r="J30" s="10" t="inlineStr"/>
    </row>
    <row r="31">
      <c r="A31" s="10" t="inlineStr"/>
      <c r="B31" s="10" t="inlineStr"/>
      <c r="C31" s="10" t="inlineStr"/>
      <c r="D31" s="10" t="inlineStr"/>
      <c r="E31" s="10" t="inlineStr"/>
      <c r="F31" s="11" t="inlineStr"/>
      <c r="G31" s="11" t="inlineStr"/>
      <c r="H31" s="12" t="n"/>
      <c r="I31" s="10" t="inlineStr"/>
      <c r="J31" s="10" t="inlineStr"/>
    </row>
    <row r="34">
      <c r="A34" s="13" t="inlineStr">
        <is>
          <t>Summary by class</t>
        </is>
      </c>
    </row>
    <row r="35" ht="30" customHeight="1">
      <c r="A35" s="6" t="inlineStr">
        <is>
          <t>Class</t>
        </is>
      </c>
      <c r="B35" s="6" t="inlineStr">
        <is>
          <t>On roll</t>
        </is>
      </c>
      <c r="C35" s="6" t="inlineStr">
        <is>
          <t>Photo: Yes</t>
        </is>
      </c>
      <c r="D35" s="6" t="inlineStr">
        <is>
          <t>Photo: No</t>
        </is>
      </c>
      <c r="E35" s="6" t="inlineStr">
        <is>
          <t>Photo: not recorded</t>
        </is>
      </c>
      <c r="F35" s="6" t="inlineStr">
        <is>
          <t>Trip: Yes</t>
        </is>
      </c>
      <c r="G35" s="6" t="inlineStr">
        <is>
          <t>Trip: No</t>
        </is>
      </c>
      <c r="H35" s="6" t="inlineStr">
        <is>
          <t>Trip: not recorded</t>
        </is>
      </c>
    </row>
    <row r="36">
      <c r="A36" s="14" t="inlineStr">
        <is>
          <t>ECD A — Sunbeams</t>
        </is>
      </c>
      <c r="B36" s="15">
        <f>COUNTIF($C$8:$C$31,A36)</f>
        <v/>
      </c>
      <c r="C36" s="15">
        <f>COUNTIFS($C$8:$C$31,A36,$F$8:$F$31,"Yes")</f>
        <v/>
      </c>
      <c r="D36" s="15">
        <f>COUNTIFS($C$8:$C$31,A36,$F$8:$F$31,"No")</f>
        <v/>
      </c>
      <c r="E36" s="15">
        <f>B36-C36-D36</f>
        <v/>
      </c>
      <c r="F36" s="15">
        <f>COUNTIFS($C$8:$C$31,A36,$G$8:$G$31,"Yes")</f>
        <v/>
      </c>
      <c r="G36" s="15">
        <f>COUNTIFS($C$8:$C$31,A36,$G$8:$G$31,"No")</f>
        <v/>
      </c>
      <c r="H36" s="15">
        <f>B36-F36-G36</f>
        <v/>
      </c>
    </row>
    <row r="37">
      <c r="A37" s="14" t="inlineStr">
        <is>
          <t>ECD B — Rainbows</t>
        </is>
      </c>
      <c r="B37" s="15">
        <f>COUNTIF($C$8:$C$31,A37)</f>
        <v/>
      </c>
      <c r="C37" s="15">
        <f>COUNTIFS($C$8:$C$31,A37,$F$8:$F$31,"Yes")</f>
        <v/>
      </c>
      <c r="D37" s="15">
        <f>COUNTIFS($C$8:$C$31,A37,$F$8:$F$31,"No")</f>
        <v/>
      </c>
      <c r="E37" s="15">
        <f>B37-C37-D37</f>
        <v/>
      </c>
      <c r="F37" s="15">
        <f>COUNTIFS($C$8:$C$31,A37,$G$8:$G$31,"Yes")</f>
        <v/>
      </c>
      <c r="G37" s="15">
        <f>COUNTIFS($C$8:$C$31,A37,$G$8:$G$31,"No")</f>
        <v/>
      </c>
      <c r="H37" s="15">
        <f>B37-F37-G37</f>
        <v/>
      </c>
    </row>
    <row r="38">
      <c r="A38" s="14" t="inlineStr">
        <is>
          <t>Grade 1 — Acacia</t>
        </is>
      </c>
      <c r="B38" s="15">
        <f>COUNTIF($C$8:$C$31,A38)</f>
        <v/>
      </c>
      <c r="C38" s="15">
        <f>COUNTIFS($C$8:$C$31,A38,$F$8:$F$31,"Yes")</f>
        <v/>
      </c>
      <c r="D38" s="15">
        <f>COUNTIFS($C$8:$C$31,A38,$F$8:$F$31,"No")</f>
        <v/>
      </c>
      <c r="E38" s="15">
        <f>B38-C38-D38</f>
        <v/>
      </c>
      <c r="F38" s="15">
        <f>COUNTIFS($C$8:$C$31,A38,$G$8:$G$31,"Yes")</f>
        <v/>
      </c>
      <c r="G38" s="15">
        <f>COUNTIFS($C$8:$C$31,A38,$G$8:$G$31,"No")</f>
        <v/>
      </c>
      <c r="H38" s="15">
        <f>B38-F38-G38</f>
        <v/>
      </c>
    </row>
    <row r="39">
      <c r="A39" s="14" t="inlineStr">
        <is>
          <t>Grade 2 — Baobab</t>
        </is>
      </c>
      <c r="B39" s="15">
        <f>COUNTIF($C$8:$C$31,A39)</f>
        <v/>
      </c>
      <c r="C39" s="15">
        <f>COUNTIFS($C$8:$C$31,A39,$F$8:$F$31,"Yes")</f>
        <v/>
      </c>
      <c r="D39" s="15">
        <f>COUNTIFS($C$8:$C$31,A39,$F$8:$F$31,"No")</f>
        <v/>
      </c>
      <c r="E39" s="15">
        <f>B39-C39-D39</f>
        <v/>
      </c>
      <c r="F39" s="15">
        <f>COUNTIFS($C$8:$C$31,A39,$G$8:$G$31,"Yes")</f>
        <v/>
      </c>
      <c r="G39" s="15">
        <f>COUNTIFS($C$8:$C$31,A39,$G$8:$G$31,"No")</f>
        <v/>
      </c>
      <c r="H39" s="15">
        <f>B39-F39-G39</f>
        <v/>
      </c>
    </row>
    <row r="40">
      <c r="A40" s="16" t="inlineStr">
        <is>
          <t>Whole school</t>
        </is>
      </c>
      <c r="B40" s="17">
        <f>SUM(B36:B39)</f>
        <v/>
      </c>
      <c r="C40" s="17">
        <f>SUM(C36:C39)</f>
        <v/>
      </c>
      <c r="D40" s="17">
        <f>SUM(D36:D39)</f>
        <v/>
      </c>
      <c r="E40" s="17">
        <f>SUM(E36:E39)</f>
        <v/>
      </c>
      <c r="F40" s="17">
        <f>SUM(F36:F39)</f>
        <v/>
      </c>
      <c r="G40" s="17">
        <f>SUM(G36:G39)</f>
        <v/>
      </c>
      <c r="H40" s="17">
        <f>SUM(H36:H39)</f>
        <v/>
      </c>
    </row>
    <row r="42">
      <c r="A42" s="18" t="inlineStr">
        <is>
          <t>Yellow cells are inputs. Use the drop-down (Yes / No / Pending) in the consent columns; "not recorded" in the summary counts blanks and Pending together.</t>
        </is>
      </c>
    </row>
    <row r="43">
      <c r="A43" s="18" t="inlineStr">
        <is>
          <t>A pupil without Photo consent = Yes must not appear in newsletters, displays or social media. A pupil without Trip consent = Yes needs a signed slip before every trip.</t>
        </is>
      </c>
    </row>
    <row r="44">
      <c r="A44" s="18" t="inlineStr">
        <is>
          <t>Pupil list generated from the staff portal on 14 Sep 2026. Add new admissions at the bottom of the list and extend the filter range.</t>
        </is>
      </c>
    </row>
  </sheetData>
  <autoFilter ref="A7:J31"/>
  <mergeCells count="7">
    <mergeCell ref="A44:J44"/>
    <mergeCell ref="A1:J1"/>
    <mergeCell ref="A3:J3"/>
    <mergeCell ref="A4:J4"/>
    <mergeCell ref="A43:J43"/>
    <mergeCell ref="A2:J2"/>
    <mergeCell ref="A42:J42"/>
  </mergeCells>
  <conditionalFormatting sqref="F8:G31">
    <cfRule type="cellIs" priority="1" operator="equal" dxfId="0">
      <formula>"Yes"</formula>
    </cfRule>
    <cfRule type="cellIs" priority="2" operator="equal" dxfId="1">
      <formula>"No"</formula>
    </cfRule>
    <cfRule type="cellIs" priority="3" operator="equal" dxfId="2">
      <formula>"Pending"</formula>
    </cfRule>
  </conditionalFormatting>
  <dataValidations count="1">
    <dataValidation sqref="F8 F9 F10 F11 F12 F13 F14 F15 F16 F17 F18 F19 F20 F21 F22 F23 F24 F25 F26 F27 F28 F29 F30 F31 G8 G9 G10 G11 G12 G13 G14 G15 G16 G17 G18 G19 G20 G21 G22 G23 G24 G25 G26 G27 G28 G29 G30 G31" showDropDown="0" showInputMessage="0" showErrorMessage="0" allowBlank="1" type="list">
      <formula1>"Yes,No,Pending"</formula1>
    </dataValidation>
  </dataValidations>
  <printOptions horizontalCentered="1"/>
  <pageMargins left="0.5" right="0.5" top="1" bottom="1" header="0.5" footer="0.5"/>
  <pageSetup orientation="landscape" paperSize="9" fitToHeight="0" fitToWidth="1"/>
  <headerFooter>
    <oddHeader/>
    <oddFooter>&amp;C&amp;8 Tel: +263 775111171  •  Email: info@ayandainfantschool.com  •  Web: www.ayandainfantschool.com</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2026-09-15T20:47:45Z</dcterms:created>
  <dcterms:modified xmlns:dcterms="http://purl.org/dc/terms/" xmlns:xsi="http://www.w3.org/2001/XMLSchema-instance" xsi:type="dcterms:W3CDTF">2026-09-15T20:47:45Z</dcterms:modified>
</cp:coreProperties>
</file>