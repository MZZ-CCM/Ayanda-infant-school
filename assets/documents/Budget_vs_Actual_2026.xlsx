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(&quot;$&quot;#,##0);-"/>
  </numFmts>
  <fonts count="12">
    <font>
      <name val="Calibri"/>
      <family val="2"/>
      <color theme="1"/>
      <sz val="11"/>
      <scheme val="minor"/>
    </font>
    <font>
      <name val="Georgia"/>
      <b val="1"/>
      <color rgb="0016304F"/>
      <sz val="16"/>
    </font>
    <font>
      <name val="Calibri"/>
      <b val="1"/>
      <color rgb="00B08D34"/>
      <sz val="8"/>
    </font>
    <font>
      <name val="Georgia"/>
      <b val="1"/>
      <color rgb="0016304F"/>
      <sz val="13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Georgia"/>
      <b val="1"/>
      <color rgb="0016304F"/>
      <sz val="11"/>
    </font>
    <font>
      <name val="Calibri"/>
      <color rgb="001F2937"/>
      <sz val="10"/>
    </font>
    <font>
      <name val="Calibri"/>
      <color rgb="000000FF"/>
      <sz val="10"/>
    </font>
    <font>
      <name val="Calibri"/>
      <color rgb="006B7280"/>
      <sz val="9"/>
    </font>
    <font>
      <name val="Calibri"/>
      <b val="1"/>
      <color rgb="001F2937"/>
      <sz val="10"/>
    </font>
    <font>
      <name val="Calibri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B08D34"/>
      </patternFill>
    </fill>
    <fill>
      <patternFill patternType="solid">
        <fgColor rgb="0016304F"/>
      </patternFill>
    </fill>
    <fill>
      <patternFill patternType="solid">
        <fgColor rgb="00F5EDD7"/>
      </patternFill>
    </fill>
    <fill>
      <patternFill patternType="solid">
        <fgColor rgb="00FFF9DB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9" fontId="7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9" fontId="10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E4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40" customWidth="1" min="7" max="7"/>
  </cols>
  <sheetData>
    <row r="1" ht="24" customHeight="1">
      <c r="A1" s="1" t="inlineStr">
        <is>
          <t>AYANDA INFANT SCHOOL</t>
        </is>
      </c>
    </row>
    <row r="2">
      <c r="A2" s="2" t="inlineStr">
        <is>
          <t>WHERE EXCELLENCE BEGINS</t>
        </is>
      </c>
    </row>
    <row r="3">
      <c r="A3" s="3" t="inlineStr">
        <is>
          <t>Budget vs Actual — 2026</t>
        </is>
      </c>
    </row>
    <row r="4">
      <c r="A4" s="4" t="inlineStr">
        <is>
          <t>USD. Actuals to 31 August 2026 (Terms 1 and 2 complete, Term 3 not yet invoiced). Blue figures are inputs from the Bursar; variance columns are calculated. Figures are placeholders until the Bursar loads the ledger.</t>
        </is>
      </c>
    </row>
    <row r="5" ht="4" customHeight="1">
      <c r="A5" s="5" t="n"/>
      <c r="B5" s="5" t="n"/>
      <c r="C5" s="5" t="n"/>
      <c r="D5" s="5" t="n"/>
      <c r="E5" s="5" t="n"/>
      <c r="F5" s="5" t="n"/>
      <c r="G5" s="5" t="n"/>
    </row>
    <row r="7" ht="30" customHeight="1">
      <c r="A7" s="6" t="inlineStr">
        <is>
          <t>Line</t>
        </is>
      </c>
      <c r="B7" s="6" t="inlineStr">
        <is>
          <t>Annual budget</t>
        </is>
      </c>
      <c r="C7" s="6" t="inlineStr">
        <is>
          <t>Actual to 31 Aug</t>
        </is>
      </c>
      <c r="D7" s="6" t="inlineStr">
        <is>
          <t>Remaining</t>
        </is>
      </c>
      <c r="E7" s="6" t="inlineStr">
        <is>
          <t>% of budget used</t>
        </is>
      </c>
      <c r="F7" s="6" t="inlineStr">
        <is>
          <t>Expected full year</t>
        </is>
      </c>
      <c r="G7" s="6" t="inlineStr">
        <is>
          <t>Notes</t>
        </is>
      </c>
    </row>
    <row r="8">
      <c r="A8" s="7" t="inlineStr">
        <is>
          <t>Income</t>
        </is>
      </c>
      <c r="B8" s="8" t="n"/>
      <c r="C8" s="8" t="n"/>
      <c r="D8" s="8" t="n"/>
      <c r="E8" s="8" t="n"/>
      <c r="F8" s="8" t="n"/>
      <c r="G8" s="8" t="n"/>
    </row>
    <row r="9">
      <c r="A9" s="9" t="inlineStr">
        <is>
          <t>Tuition fees (3 terms)</t>
        </is>
      </c>
      <c r="B9" s="10" t="n">
        <v>71400</v>
      </c>
      <c r="C9" s="10" t="n">
        <v>47800</v>
      </c>
      <c r="D9" s="11">
        <f>B9-C9</f>
        <v/>
      </c>
      <c r="E9" s="12">
        <f>IF(B9=0,0,C9/B9)</f>
        <v/>
      </c>
      <c r="F9" s="11">
        <f>C9/2*3</f>
        <v/>
      </c>
      <c r="G9" s="13" t="inlineStr">
        <is>
          <t>Term 3 invoiced in Sep; 59 pupils on roll</t>
        </is>
      </c>
    </row>
    <row r="10">
      <c r="A10" s="9" t="inlineStr">
        <is>
          <t>Development levy</t>
        </is>
      </c>
      <c r="B10" s="10" t="n">
        <v>7080</v>
      </c>
      <c r="C10" s="10" t="n">
        <v>4720</v>
      </c>
      <c r="D10" s="11">
        <f>B10-C10</f>
        <v/>
      </c>
      <c r="E10" s="12">
        <f>IF(B10=0,0,C10/B10)</f>
        <v/>
      </c>
      <c r="F10" s="11">
        <f>C10/2*3</f>
        <v/>
      </c>
      <c r="G10" s="13" t="inlineStr">
        <is>
          <t>Per pupil per term</t>
        </is>
      </c>
    </row>
    <row r="11">
      <c r="A11" s="9" t="inlineStr">
        <is>
          <t>Learning materials fee</t>
        </is>
      </c>
      <c r="B11" s="10" t="n">
        <v>5310</v>
      </c>
      <c r="C11" s="10" t="n">
        <v>3540</v>
      </c>
      <c r="D11" s="11">
        <f>B11-C11</f>
        <v/>
      </c>
      <c r="E11" s="12">
        <f>IF(B11=0,0,C11/B11)</f>
        <v/>
      </c>
      <c r="F11" s="11">
        <f>C11/2*3</f>
        <v/>
      </c>
      <c r="G11" s="13" t="inlineStr"/>
    </row>
    <row r="12">
      <c r="A12" s="9" t="inlineStr">
        <is>
          <t>Meals and transport (optional)</t>
        </is>
      </c>
      <c r="B12" s="10" t="n">
        <v>22000</v>
      </c>
      <c r="C12" s="10" t="n">
        <v>14100</v>
      </c>
      <c r="D12" s="11">
        <f>B12-C12</f>
        <v/>
      </c>
      <c r="E12" s="12">
        <f>IF(B12=0,0,C12/B12)</f>
        <v/>
      </c>
      <c r="F12" s="11">
        <f>C12/2*3</f>
        <v/>
      </c>
      <c r="G12" s="13" t="inlineStr">
        <is>
          <t>Roughly two-thirds of families opt in</t>
        </is>
      </c>
    </row>
    <row r="13">
      <c r="A13" s="9" t="inlineStr">
        <is>
          <t>Uniform sales</t>
        </is>
      </c>
      <c r="B13" s="10" t="n">
        <v>4500</v>
      </c>
      <c r="C13" s="10" t="n">
        <v>3900</v>
      </c>
      <c r="D13" s="11">
        <f>B13-C13</f>
        <v/>
      </c>
      <c r="E13" s="12">
        <f>IF(B13=0,0,C13/B13)</f>
        <v/>
      </c>
      <c r="F13" s="11">
        <f>C13</f>
        <v/>
      </c>
      <c r="G13" s="13" t="inlineStr">
        <is>
          <t>Mostly sold in Term 1</t>
        </is>
      </c>
    </row>
    <row r="14">
      <c r="A14" s="9" t="inlineStr">
        <is>
          <t>Fundraising and donations</t>
        </is>
      </c>
      <c r="B14" s="10" t="n">
        <v>6000</v>
      </c>
      <c r="C14" s="10" t="n">
        <v>2150</v>
      </c>
      <c r="D14" s="11">
        <f>B14-C14</f>
        <v/>
      </c>
      <c r="E14" s="12">
        <f>IF(B14=0,0,C14/B14)</f>
        <v/>
      </c>
      <c r="F14" s="11">
        <f>C14+3000</f>
        <v/>
      </c>
      <c r="G14" s="13" t="inlineStr">
        <is>
          <t>Prize Giving raffle planned for Nov</t>
        </is>
      </c>
    </row>
    <row r="15">
      <c r="A15" s="9" t="inlineStr">
        <is>
          <t>Registration fees (new admissions)</t>
        </is>
      </c>
      <c r="B15" s="10" t="n">
        <v>1500</v>
      </c>
      <c r="C15" s="10" t="n">
        <v>1050</v>
      </c>
      <c r="D15" s="11">
        <f>B15-C15</f>
        <v/>
      </c>
      <c r="E15" s="12">
        <f>IF(B15=0,0,C15/B15)</f>
        <v/>
      </c>
      <c r="F15" s="11">
        <f>C15+300</f>
        <v/>
      </c>
      <c r="G15" s="13" t="inlineStr"/>
    </row>
    <row r="16">
      <c r="A16" s="14" t="inlineStr">
        <is>
          <t>Total income</t>
        </is>
      </c>
      <c r="B16" s="15">
        <f>B9+B10+B11+B12+B13+B14+B15</f>
        <v/>
      </c>
      <c r="C16" s="15">
        <f>C9+C10+C11+C12+C13+C14+C15</f>
        <v/>
      </c>
      <c r="D16" s="15">
        <f>D9+D10+D11+D12+D13+D14+D15</f>
        <v/>
      </c>
      <c r="E16" s="16">
        <f>IF(B16=0,0,C16/B16)</f>
        <v/>
      </c>
      <c r="F16" s="15">
        <f>F9+F10+F11+F12+F13+F14+F15</f>
        <v/>
      </c>
      <c r="G16" s="17" t="inlineStr"/>
    </row>
    <row r="18">
      <c r="A18" s="7" t="inlineStr">
        <is>
          <t>Expenditure</t>
        </is>
      </c>
      <c r="B18" s="8" t="n"/>
      <c r="C18" s="8" t="n"/>
      <c r="D18" s="8" t="n"/>
      <c r="E18" s="8" t="n"/>
      <c r="F18" s="8" t="n"/>
      <c r="G18" s="8" t="n"/>
    </row>
    <row r="19">
      <c r="A19" s="9" t="inlineStr">
        <is>
          <t>Salaries and NSSA</t>
        </is>
      </c>
      <c r="B19" s="10" t="n">
        <v>84000</v>
      </c>
      <c r="C19" s="10" t="n">
        <v>56000</v>
      </c>
      <c r="D19" s="11">
        <f>B19-C19</f>
        <v/>
      </c>
      <c r="E19" s="12">
        <f>IF(B19=0,0,C19/B19)</f>
        <v/>
      </c>
      <c r="F19" s="11">
        <f>C19/8*12</f>
        <v/>
      </c>
      <c r="G19" s="13" t="inlineStr">
        <is>
          <t>12 staff; 8 months paid</t>
        </is>
      </c>
    </row>
    <row r="20">
      <c r="A20" s="9" t="inlineStr">
        <is>
          <t>Casual and relief staff</t>
        </is>
      </c>
      <c r="B20" s="10" t="n">
        <v>2400</v>
      </c>
      <c r="C20" s="10" t="n">
        <v>1150</v>
      </c>
      <c r="D20" s="11">
        <f>B20-C20</f>
        <v/>
      </c>
      <c r="E20" s="12">
        <f>IF(B20=0,0,C20/B20)</f>
        <v/>
      </c>
      <c r="F20" s="11">
        <f>C20/8*12</f>
        <v/>
      </c>
      <c r="G20" s="13" t="inlineStr"/>
    </row>
    <row r="21">
      <c r="A21" s="9" t="inlineStr">
        <is>
          <t>Staff training (CPD)</t>
        </is>
      </c>
      <c r="B21" s="10" t="n">
        <v>2500</v>
      </c>
      <c r="C21" s="10" t="n">
        <v>1680</v>
      </c>
      <c r="D21" s="11">
        <f>B21-C21</f>
        <v/>
      </c>
      <c r="E21" s="12">
        <f>IF(B21=0,0,C21/B21)</f>
        <v/>
      </c>
      <c r="F21" s="11">
        <f>C21+500</f>
        <v/>
      </c>
      <c r="G21" s="13" t="inlineStr">
        <is>
          <t>First aid course in March</t>
        </is>
      </c>
    </row>
    <row r="22">
      <c r="A22" s="9" t="inlineStr">
        <is>
          <t>Learning materials and stationery</t>
        </is>
      </c>
      <c r="B22" s="10" t="n">
        <v>6500</v>
      </c>
      <c r="C22" s="10" t="n">
        <v>4900</v>
      </c>
      <c r="D22" s="11">
        <f>B22-C22</f>
        <v/>
      </c>
      <c r="E22" s="12">
        <f>IF(B22=0,0,C22/B22)</f>
        <v/>
      </c>
      <c r="F22" s="11">
        <f>C22+1200</f>
        <v/>
      </c>
      <c r="G22" s="13" t="inlineStr">
        <is>
          <t>Term 3 order placed in Aug</t>
        </is>
      </c>
    </row>
    <row r="23">
      <c r="A23" s="9" t="inlineStr">
        <is>
          <t>Catering (meals programme)</t>
        </is>
      </c>
      <c r="B23" s="10" t="n">
        <v>14000</v>
      </c>
      <c r="C23" s="10" t="n">
        <v>9300</v>
      </c>
      <c r="D23" s="11">
        <f>B23-C23</f>
        <v/>
      </c>
      <c r="E23" s="12">
        <f>IF(B23=0,0,C23/B23)</f>
        <v/>
      </c>
      <c r="F23" s="11">
        <f>C23/2*3</f>
        <v/>
      </c>
      <c r="G23" s="13" t="inlineStr"/>
    </row>
    <row r="24">
      <c r="A24" s="9" t="inlineStr">
        <is>
          <t>Transport (bus running costs)</t>
        </is>
      </c>
      <c r="B24" s="10" t="n">
        <v>9000</v>
      </c>
      <c r="C24" s="10" t="n">
        <v>6400</v>
      </c>
      <c r="D24" s="11">
        <f>B24-C24</f>
        <v/>
      </c>
      <c r="E24" s="12">
        <f>IF(B24=0,0,C24/B24)</f>
        <v/>
      </c>
      <c r="F24" s="11">
        <f>C24/2*3</f>
        <v/>
      </c>
      <c r="G24" s="13" t="inlineStr">
        <is>
          <t>Fuel and service</t>
        </is>
      </c>
    </row>
    <row r="25">
      <c r="A25" s="9" t="inlineStr">
        <is>
          <t>Utilities (electricity, water, internet)</t>
        </is>
      </c>
      <c r="B25" s="10" t="n">
        <v>5400</v>
      </c>
      <c r="C25" s="10" t="n">
        <v>3720</v>
      </c>
      <c r="D25" s="11">
        <f>B25-C25</f>
        <v/>
      </c>
      <c r="E25" s="12">
        <f>IF(B25=0,0,C25/B25)</f>
        <v/>
      </c>
      <c r="F25" s="11">
        <f>C25/8*12</f>
        <v/>
      </c>
      <c r="G25" s="13" t="inlineStr">
        <is>
          <t>ZESA prepaid + borehole pump</t>
        </is>
      </c>
    </row>
    <row r="26">
      <c r="A26" s="9" t="inlineStr">
        <is>
          <t>Repairs and maintenance</t>
        </is>
      </c>
      <c r="B26" s="10" t="n">
        <v>4800</v>
      </c>
      <c r="C26" s="10" t="n">
        <v>3950</v>
      </c>
      <c r="D26" s="11">
        <f>B26-C26</f>
        <v/>
      </c>
      <c r="E26" s="12">
        <f>IF(B26=0,0,C26/B26)</f>
        <v/>
      </c>
      <c r="F26" s="11">
        <f>C26+600</f>
        <v/>
      </c>
      <c r="G26" s="13" t="inlineStr">
        <is>
          <t>Playground resurfacing in April</t>
        </is>
      </c>
    </row>
    <row r="27">
      <c r="A27" s="9" t="inlineStr">
        <is>
          <t>Insurance and licences</t>
        </is>
      </c>
      <c r="B27" s="10" t="n">
        <v>2200</v>
      </c>
      <c r="C27" s="10" t="n">
        <v>2200</v>
      </c>
      <c r="D27" s="11">
        <f>B27-C27</f>
        <v/>
      </c>
      <c r="E27" s="12">
        <f>IF(B27=0,0,C27/B27)</f>
        <v/>
      </c>
      <c r="F27" s="11">
        <f>C27</f>
        <v/>
      </c>
      <c r="G27" s="13" t="inlineStr">
        <is>
          <t>Paid in full in January</t>
        </is>
      </c>
    </row>
    <row r="28">
      <c r="A28" s="9" t="inlineStr">
        <is>
          <t>Administration and bank charges</t>
        </is>
      </c>
      <c r="B28" s="10" t="n">
        <v>1800</v>
      </c>
      <c r="C28" s="10" t="n">
        <v>1210</v>
      </c>
      <c r="D28" s="11">
        <f>B28-C28</f>
        <v/>
      </c>
      <c r="E28" s="12">
        <f>IF(B28=0,0,C28/B28)</f>
        <v/>
      </c>
      <c r="F28" s="11">
        <f>C28/8*12</f>
        <v/>
      </c>
      <c r="G28" s="13" t="inlineStr">
        <is>
          <t>Includes portal hosting</t>
        </is>
      </c>
    </row>
    <row r="29">
      <c r="A29" s="9" t="inlineStr">
        <is>
          <t>Events (Sports Day, Prize Giving)</t>
        </is>
      </c>
      <c r="B29" s="10" t="n">
        <v>3000</v>
      </c>
      <c r="C29" s="10" t="n">
        <v>900</v>
      </c>
      <c r="D29" s="11">
        <f>B29-C29</f>
        <v/>
      </c>
      <c r="E29" s="12">
        <f>IF(B29=0,0,C29/B29)</f>
        <v/>
      </c>
      <c r="F29" s="11">
        <f>C29+2100</f>
        <v/>
      </c>
      <c r="G29" s="13" t="inlineStr">
        <is>
          <t>Both events fall in Term 3</t>
        </is>
      </c>
    </row>
    <row r="30">
      <c r="A30" s="9" t="inlineStr">
        <is>
          <t>Contingency</t>
        </is>
      </c>
      <c r="B30" s="10" t="n">
        <v>3000</v>
      </c>
      <c r="C30" s="10" t="n">
        <v>0</v>
      </c>
      <c r="D30" s="11">
        <f>B30-C30</f>
        <v/>
      </c>
      <c r="E30" s="12">
        <f>IF(B30=0,0,C30/B30)</f>
        <v/>
      </c>
      <c r="F30" s="11">
        <f>B30</f>
        <v/>
      </c>
      <c r="G30" s="13" t="inlineStr">
        <is>
          <t>Held in reserve</t>
        </is>
      </c>
    </row>
    <row r="31">
      <c r="A31" s="14" t="inlineStr">
        <is>
          <t>Total expenditure</t>
        </is>
      </c>
      <c r="B31" s="15">
        <f>B19+B20+B21+B22+B23+B24+B25+B26+B27+B28+B29+B30</f>
        <v/>
      </c>
      <c r="C31" s="15">
        <f>C19+C20+C21+C22+C23+C24+C25+C26+C27+C28+C29+C30</f>
        <v/>
      </c>
      <c r="D31" s="15">
        <f>D19+D20+D21+D22+D23+D24+D25+D26+D27+D28+D29+D30</f>
        <v/>
      </c>
      <c r="E31" s="16">
        <f>IF(B31=0,0,C31/B31)</f>
        <v/>
      </c>
      <c r="F31" s="15">
        <f>F19+F20+F21+F22+F23+F24+F25+F26+F27+F28+F29+F30</f>
        <v/>
      </c>
      <c r="G31" s="17" t="inlineStr"/>
    </row>
    <row r="33">
      <c r="A33" s="18" t="inlineStr">
        <is>
          <t>Surplus / (deficit)</t>
        </is>
      </c>
      <c r="B33" s="19">
        <f>B16-B31</f>
        <v/>
      </c>
      <c r="C33" s="19">
        <f>C16-C31</f>
        <v/>
      </c>
      <c r="D33" s="19">
        <f>D16-D31</f>
        <v/>
      </c>
      <c r="E33" s="20" t="inlineStr"/>
      <c r="F33" s="19">
        <f>F16-F31</f>
        <v/>
      </c>
      <c r="G33" s="21" t="inlineStr">
        <is>
          <t>Positive = surplus</t>
        </is>
      </c>
    </row>
    <row r="35">
      <c r="A35" s="22" t="inlineStr">
        <is>
          <t>Blue = input. Black = formula. Remaining = budget − actual. "Expected full year" projects the year-end figure: termly lines scale 2 terms to 3, monthly lines scale 8 months to 12, one-off lines use the actual plus known commitments.</t>
        </is>
      </c>
    </row>
    <row r="36">
      <c r="A36" s="22" t="inlineStr">
        <is>
          <t>Expenditure lines above 75% of budget by 31 August are highlighted so the Bursar can review them before Term 3 commitments.</t>
        </is>
      </c>
    </row>
    <row r="37">
      <c r="A37" s="22" t="inlineStr">
        <is>
          <t>All amounts are placeholders entered on 14 Sep 2026 to demonstrate the layout — replace them with figures from the accounting ledger before presenting to the Board.</t>
        </is>
      </c>
    </row>
  </sheetData>
  <mergeCells count="9">
    <mergeCell ref="A36:G36"/>
    <mergeCell ref="A1:G1"/>
    <mergeCell ref="A18:G18"/>
    <mergeCell ref="A8:G8"/>
    <mergeCell ref="A3:G3"/>
    <mergeCell ref="A35:G35"/>
    <mergeCell ref="A4:G4"/>
    <mergeCell ref="A2:G2"/>
    <mergeCell ref="A37:G37"/>
  </mergeCells>
  <conditionalFormatting sqref="E19:E30">
    <cfRule type="cellIs" priority="1" operator="greaterThan" dxfId="0">
      <formula>0.75</formula>
    </cfRule>
  </conditionalFormatting>
  <conditionalFormatting sqref="B33:F33">
    <cfRule type="cellIs" priority="2" operator="lessThan" dxfId="0">
      <formula>0</formula>
    </cfRule>
  </conditionalFormatting>
  <printOptions horizontalCentered="1"/>
  <pageMargins left="0.5" right="0.5" top="1" bottom="1" header="0.5" footer="0.5"/>
  <pageSetup orientation="portrait" paperSize="9" fitToHeight="0" fitToWidth="1"/>
  <headerFooter>
    <oddHeader/>
    <oddFooter>&amp;C&amp;8 Tel: +263 775111171  •  Email: info@ayandainfantschool.com  •  Web: www.ayandainfantschool.com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2026-09-15T20:47:45Z</dcterms:created>
  <dcterms:modified xmlns:dcterms="http://purl.org/dc/terms/" xmlns:xsi="http://www.w3.org/2001/XMLSchema-instance" xsi:type="dcterms:W3CDTF">2026-09-15T20:47:45Z</dcterms:modified>
</cp:coreProperties>
</file>